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Revenue_Bridge" sheetId="2" state="visible" r:id="rId4"/>
    <sheet name="Pricing_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<sst xmlns="http://schemas.openxmlformats.org/spreadsheetml/2006/main" count="91" uniqueCount="83">
  <si>
    <t xml:space="preserve">PVR INOX - reported operating metrics (public disclosures)</t>
  </si>
  <si>
    <t xml:space="preserve">Blue = hard-coded from company results as reported by the press (see Source). Black = formula.</t>
  </si>
  <si>
    <t xml:space="preserve">Metric</t>
  </si>
  <si>
    <t xml:space="preserve">Q4 FY25</t>
  </si>
  <si>
    <t xml:space="preserve">Q4 FY26</t>
  </si>
  <si>
    <t xml:space="preserve">YoY change</t>
  </si>
  <si>
    <t xml:space="preserve">FY26</t>
  </si>
  <si>
    <t xml:space="preserve">Source / note</t>
  </si>
  <si>
    <t xml:space="preserve">Footfalls (million)</t>
  </si>
  <si>
    <t xml:space="preserve">Q4: Business Standard / PVR INOX Q4 FY26 results, 11 May 2026. FY26: 150 mn admissions (+10% YoY).</t>
  </si>
  <si>
    <t xml:space="preserve">Average ticket price, ATP (Rs)</t>
  </si>
  <si>
    <t xml:space="preserve">Q4 FY25 ATP derived from reported Q4 FY26 ATP and +22.4% YoY. FY26 ATP Rs 280 (+8%).</t>
  </si>
  <si>
    <t xml:space="preserve">F&amp;B spend per head, SPH (Rs)</t>
  </si>
  <si>
    <t xml:space="preserve">Q4 FY25 SPH from reported +32.3% YoY. FY26 SPH Rs 147 (+10%).</t>
  </si>
  <si>
    <t xml:space="preserve">Occupancy</t>
  </si>
  <si>
    <t xml:space="preserve">Business Standard (brokerage note), 12 May 2026.</t>
  </si>
  <si>
    <t xml:space="preserve">Box-office revenue (Rs Cr)</t>
  </si>
  <si>
    <t xml:space="preserve">Q4 FY26 press coverage of results (DSIJ summary).</t>
  </si>
  <si>
    <t xml:space="preserve">F&amp;B revenue (Rs Cr)</t>
  </si>
  <si>
    <t xml:space="preserve">Same source.</t>
  </si>
  <si>
    <t xml:space="preserve">Advertising revenue (Rs Cr)</t>
  </si>
  <si>
    <t xml:space="preserve">Reported revenue (Rs Cr)</t>
  </si>
  <si>
    <t xml:space="preserve">Q4 FY26 revenue Rs 1,547 Cr; Q4 FY25 Rs 1,230 Cr (Kotak Neo / Business Standard).</t>
  </si>
  <si>
    <t xml:space="preserve">Screens (year-end)</t>
  </si>
  <si>
    <t xml:space="preserve">1,798 screens, 359 cinemas, 113 cities; 93 added and 18 exited in FY26.</t>
  </si>
  <si>
    <t xml:space="preserve">Derived: net realisation (reported revenue / (footfalls x ATP or SPH))</t>
  </si>
  <si>
    <t xml:space="preserve">Box office net realisation, Q4 FY26</t>
  </si>
  <si>
    <t xml:space="preserve">Insight: reported ATP/SPH are higher than revenue per head, consistent with ATP/SPH being quoted gross of GST (our inference, not a company statement).</t>
  </si>
  <si>
    <t xml:space="preserve">F&amp;B net realisation, Q4 FY26</t>
  </si>
  <si>
    <t xml:space="preserve">What drove Q4 FY26 growth in revenue per audience (tickets + F&amp;B, gross of tax)?</t>
  </si>
  <si>
    <t xml:space="preserve">Item</t>
  </si>
  <si>
    <t xml:space="preserve">Note</t>
  </si>
  <si>
    <t xml:space="preserve">Footfalls (mn)</t>
  </si>
  <si>
    <t xml:space="preserve">ATP (Rs)</t>
  </si>
  <si>
    <t xml:space="preserve">SPH (Rs)</t>
  </si>
  <si>
    <t xml:space="preserve">Gross ticket + F&amp;B value (Rs mn) = footfalls x (ATP+SPH)</t>
  </si>
  <si>
    <t xml:space="preserve">Bridge (Rs mn)</t>
  </si>
  <si>
    <t xml:space="preserve">Rs mn</t>
  </si>
  <si>
    <t xml:space="preserve">Share of change</t>
  </si>
  <si>
    <t xml:space="preserve">Footfall effect (change in footfalls x old ATP+SPH)</t>
  </si>
  <si>
    <t xml:space="preserve">ATP effect (change in ATP x new footfalls)</t>
  </si>
  <si>
    <t xml:space="preserve">SPH effect (change in SPH x new footfalls)</t>
  </si>
  <si>
    <t xml:space="preserve">Total change</t>
  </si>
  <si>
    <t xml:space="preserve">Check vs direct difference (should be 0)</t>
  </si>
  <si>
    <t xml:space="preserve">Share of growth from price and spend (ATP + SPH)</t>
  </si>
  <si>
    <t xml:space="preserve">Reading: audience grew ~1.6% while ATP rose ~22% and SPH ~32%, so almost all growth came from charging/earning more per visitor. Q4 FY26 was also blockbuster-driven (the company credits a big film), so this is not guaranteed to repeat.</t>
  </si>
  <si>
    <t xml:space="preserve">Should PVR INOX push price, F&amp;B or footfalls? (annual FY26 base, per-patron economics)</t>
  </si>
  <si>
    <t xml:space="preserve">Blue = assumptions. Yellow = key assumptions NOT disclosed by PVR INOX; test them in the sensitivity table. This is an illustrative student model, not company guidance.</t>
  </si>
  <si>
    <t xml:space="preserve">Base footfalls (mn)</t>
  </si>
  <si>
    <t xml:space="preserve">FY26 reported.</t>
  </si>
  <si>
    <t xml:space="preserve">Base ATP (Rs)</t>
  </si>
  <si>
    <t xml:space="preserve">Base SPH (Rs)</t>
  </si>
  <si>
    <t xml:space="preserve">Box-office net realisation</t>
  </si>
  <si>
    <t xml:space="preserve">Derived from Q4 FY26 (assumed to hold for FY26).</t>
  </si>
  <si>
    <t xml:space="preserve">F&amp;B net realisation</t>
  </si>
  <si>
    <t xml:space="preserve">Derived from Q4 FY26.</t>
  </si>
  <si>
    <t xml:space="preserve">Film distributor share of net box office</t>
  </si>
  <si>
    <t xml:space="preserve">ASSUMPTION - not from PVR disclosures. Exhibitors typically share a large part of net box office with distributors; verify before relying. Tested below.</t>
  </si>
  <si>
    <t xml:space="preserve">F&amp;B cost of goods (% of F&amp;B revenue)</t>
  </si>
  <si>
    <t xml:space="preserve">ASSUMPTION - not from PVR disclosures. Tested below.</t>
  </si>
  <si>
    <t xml:space="preserve">Scenario A: ATP increase (Rs)</t>
  </si>
  <si>
    <t xml:space="preserve">Scenario lever.</t>
  </si>
  <si>
    <t xml:space="preserve">Scenario A: footfall change from price rise</t>
  </si>
  <si>
    <t xml:space="preserve">ASSUMPTION (price elasticity). Tested below via break-even.</t>
  </si>
  <si>
    <t xml:space="preserve">Scenario B: SPH increase (combos, upsell)</t>
  </si>
  <si>
    <t xml:space="preserve">Scenario C: footfall growth (marketing, programming)</t>
  </si>
  <si>
    <t xml:space="preserve">Contribution per patron (Rs) = ATP x net box x (1 - distributor share) + SPH x net F&amp;B x (1 - COGS)</t>
  </si>
  <si>
    <t xml:space="preserve">Base contribution per patron (Rs)</t>
  </si>
  <si>
    <t xml:space="preserve">Base net revenue per patron (Rs)</t>
  </si>
  <si>
    <t xml:space="preserve">Scenario</t>
  </si>
  <si>
    <t xml:space="preserve">Net revenue (Rs Cr)</t>
  </si>
  <si>
    <t xml:space="preserve">Change in net revenue (Rs Cr)</t>
  </si>
  <si>
    <t xml:space="preserve">Contribution (Rs Cr)</t>
  </si>
  <si>
    <t xml:space="preserve">Change in contribution (Rs Cr)</t>
  </si>
  <si>
    <t xml:space="preserve">Change %</t>
  </si>
  <si>
    <t xml:space="preserve">Base</t>
  </si>
  <si>
    <t xml:space="preserve">A. Raise ATP</t>
  </si>
  <si>
    <t xml:space="preserve">B. Lift F&amp;B spend</t>
  </si>
  <si>
    <t xml:space="preserve">C. Grow footfalls</t>
  </si>
  <si>
    <t xml:space="preserve">Break-even: footfall drop that wipes out the contribution gain from the ATP rise</t>
  </si>
  <si>
    <t xml:space="preserve">If footfalls fall by more than this, raising ATP loses money (on contribution). Compare with the assumed footfall change.</t>
  </si>
  <si>
    <t xml:space="preserve">SENSITIVITY: change in contribution (Rs Cr) from +Rs 10 ATP (Scenario A), by distributor share and footfall change</t>
  </si>
  <si>
    <t xml:space="preserve">Distributor share -&gt;  /  footfall change down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</si>
</sst>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#,##0.0;\(#,##0.0\);0.0"/>
    <numFmt numFmtId="168" formatCode="#,##0"/>
    <numFmt numFmtId="169" formatCode="0"/>
    <numFmt numFmtId="170" formatCode="#,##0;\(#,##0\);\-"/>
    <numFmt numFmtId="171" formatCode="0.0%;\(0.0%\);\-"/>
    <numFmt numFmtId="172" formatCode="0.00%"/>
    <numFmt numFmtId="173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"/>
    <col collapsed="false" customWidth="true" hidden="false" outlineLevel="0" max="6" min="6" style="0" width="7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7.75" hidden="false" customHeight="true" outlineLevel="0" collapsed="false">
      <c r="A5" s="4" t="s">
        <v>8</v>
      </c>
      <c r="B5" s="5" t="n">
        <v>30.5</v>
      </c>
      <c r="C5" s="5" t="n">
        <v>31</v>
      </c>
      <c r="D5" s="6" t="n">
        <f aca="false">C5/B5-1</f>
        <v>0.0163934426229508</v>
      </c>
      <c r="E5" s="5" t="n">
        <v>150</v>
      </c>
      <c r="F5" s="7" t="s">
        <v>9</v>
      </c>
    </row>
    <row r="6" customFormat="false" ht="27.75" hidden="false" customHeight="true" outlineLevel="0" collapsed="false">
      <c r="A6" s="4" t="s">
        <v>10</v>
      </c>
      <c r="B6" s="5" t="n">
        <v>258</v>
      </c>
      <c r="C6" s="5" t="n">
        <v>315</v>
      </c>
      <c r="D6" s="6" t="n">
        <f aca="false">C6/B6-1</f>
        <v>0.220930232558139</v>
      </c>
      <c r="E6" s="5" t="n">
        <v>280</v>
      </c>
      <c r="F6" s="7" t="s">
        <v>11</v>
      </c>
    </row>
    <row r="7" customFormat="false" ht="27.75" hidden="false" customHeight="true" outlineLevel="0" collapsed="false">
      <c r="A7" s="4" t="s">
        <v>12</v>
      </c>
      <c r="B7" s="5" t="n">
        <v>125</v>
      </c>
      <c r="C7" s="5" t="n">
        <v>165</v>
      </c>
      <c r="D7" s="6" t="n">
        <f aca="false">C7/B7-1</f>
        <v>0.32</v>
      </c>
      <c r="E7" s="5" t="n">
        <v>147</v>
      </c>
      <c r="F7" s="7" t="s">
        <v>13</v>
      </c>
    </row>
    <row r="8" customFormat="false" ht="27.75" hidden="false" customHeight="true" outlineLevel="0" collapsed="false">
      <c r="A8" s="4" t="s">
        <v>14</v>
      </c>
      <c r="B8" s="8" t="n">
        <v>0.205</v>
      </c>
      <c r="C8" s="8" t="n">
        <v>0.239</v>
      </c>
      <c r="D8" s="6" t="n">
        <f aca="false">C8/B8-1</f>
        <v>0.165853658536585</v>
      </c>
      <c r="F8" s="7" t="s">
        <v>15</v>
      </c>
    </row>
    <row r="9" customFormat="false" ht="27.75" hidden="false" customHeight="true" outlineLevel="0" collapsed="false">
      <c r="A9" s="4" t="s">
        <v>16</v>
      </c>
      <c r="C9" s="5" t="n">
        <v>819</v>
      </c>
      <c r="F9" s="7" t="s">
        <v>17</v>
      </c>
    </row>
    <row r="10" customFormat="false" ht="27.75" hidden="false" customHeight="true" outlineLevel="0" collapsed="false">
      <c r="A10" s="4" t="s">
        <v>18</v>
      </c>
      <c r="C10" s="5" t="n">
        <v>482</v>
      </c>
      <c r="F10" s="7" t="s">
        <v>19</v>
      </c>
    </row>
    <row r="11" customFormat="false" ht="27.75" hidden="false" customHeight="true" outlineLevel="0" collapsed="false">
      <c r="A11" s="4" t="s">
        <v>20</v>
      </c>
      <c r="C11" s="5" t="n">
        <v>110</v>
      </c>
      <c r="F11" s="7" t="s">
        <v>19</v>
      </c>
    </row>
    <row r="12" customFormat="false" ht="27.75" hidden="false" customHeight="true" outlineLevel="0" collapsed="false">
      <c r="A12" s="4" t="s">
        <v>21</v>
      </c>
      <c r="B12" s="5" t="n">
        <v>1230</v>
      </c>
      <c r="C12" s="5" t="n">
        <v>1547</v>
      </c>
      <c r="D12" s="6" t="n">
        <f aca="false">C12/B12-1</f>
        <v>0.257723577235772</v>
      </c>
      <c r="F12" s="7" t="s">
        <v>22</v>
      </c>
    </row>
    <row r="13" customFormat="false" ht="27.75" hidden="false" customHeight="true" outlineLevel="0" collapsed="false">
      <c r="A13" s="4" t="s">
        <v>23</v>
      </c>
      <c r="E13" s="5" t="n">
        <v>1798</v>
      </c>
      <c r="F13" s="7" t="s">
        <v>24</v>
      </c>
    </row>
    <row r="15" customFormat="false" ht="15" hidden="false" customHeight="false" outlineLevel="0" collapsed="false">
      <c r="A15" s="9" t="s">
        <v>25</v>
      </c>
    </row>
    <row r="16" customFormat="false" ht="39.75" hidden="false" customHeight="true" outlineLevel="0" collapsed="false">
      <c r="A16" s="0" t="s">
        <v>26</v>
      </c>
      <c r="C16" s="6" t="n">
        <f aca="false">C9/(C5*C6/10)</f>
        <v>0.838709677419355</v>
      </c>
      <c r="F16" s="10" t="s">
        <v>27</v>
      </c>
    </row>
    <row r="17" customFormat="false" ht="15" hidden="false" customHeight="false" outlineLevel="0" collapsed="false">
      <c r="A17" s="0" t="s">
        <v>28</v>
      </c>
      <c r="C17" s="6" t="n">
        <f aca="false">C10/(C5*C7/10)</f>
        <v>0.942326490713588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29</v>
      </c>
    </row>
    <row r="3" customFormat="false" ht="15" hidden="false" customHeight="false" outlineLevel="0" collapsed="false">
      <c r="A3" s="3" t="s">
        <v>30</v>
      </c>
      <c r="B3" s="3" t="s">
        <v>3</v>
      </c>
      <c r="C3" s="3" t="s">
        <v>4</v>
      </c>
      <c r="D3" s="3" t="s">
        <v>31</v>
      </c>
    </row>
    <row r="4" customFormat="false" ht="15" hidden="false" customHeight="false" outlineLevel="0" collapsed="false">
      <c r="A4" s="0" t="s">
        <v>32</v>
      </c>
      <c r="B4" s="11" t="n">
        <f aca="false">Data!B5</f>
        <v>30.5</v>
      </c>
      <c r="C4" s="11" t="n">
        <f aca="false">Data!C5</f>
        <v>31</v>
      </c>
    </row>
    <row r="5" customFormat="false" ht="15" hidden="false" customHeight="false" outlineLevel="0" collapsed="false">
      <c r="A5" s="0" t="s">
        <v>33</v>
      </c>
      <c r="B5" s="11" t="n">
        <f aca="false">Data!B6</f>
        <v>258</v>
      </c>
      <c r="C5" s="11" t="n">
        <f aca="false">Data!C6</f>
        <v>315</v>
      </c>
    </row>
    <row r="6" customFormat="false" ht="15" hidden="false" customHeight="false" outlineLevel="0" collapsed="false">
      <c r="A6" s="0" t="s">
        <v>34</v>
      </c>
      <c r="B6" s="11" t="n">
        <f aca="false">Data!B7</f>
        <v>125</v>
      </c>
      <c r="C6" s="11" t="n">
        <f aca="false">Data!C7</f>
        <v>165</v>
      </c>
    </row>
    <row r="7" customFormat="false" ht="15" hidden="false" customHeight="false" outlineLevel="0" collapsed="false">
      <c r="A7" s="0" t="s">
        <v>35</v>
      </c>
      <c r="B7" s="12" t="n">
        <f aca="false">B4*(B5+B6)</f>
        <v>11681.5</v>
      </c>
      <c r="C7" s="12" t="n">
        <f aca="false">C4*(C5+C6)</f>
        <v>14880</v>
      </c>
    </row>
    <row r="9" customFormat="false" ht="15" hidden="false" customHeight="false" outlineLevel="0" collapsed="false">
      <c r="A9" s="9" t="s">
        <v>36</v>
      </c>
      <c r="B9" s="13" t="s">
        <v>37</v>
      </c>
      <c r="C9" s="13" t="s">
        <v>38</v>
      </c>
    </row>
    <row r="10" customFormat="false" ht="15" hidden="false" customHeight="false" outlineLevel="0" collapsed="false">
      <c r="A10" s="0" t="s">
        <v>39</v>
      </c>
      <c r="B10" s="14" t="n">
        <f aca="false">(C4-B4)*(B5+B6)</f>
        <v>191.5</v>
      </c>
      <c r="C10" s="6" t="n">
        <f aca="false">B10/$B$13</f>
        <v>0.0598718149132406</v>
      </c>
    </row>
    <row r="11" customFormat="false" ht="15" hidden="false" customHeight="false" outlineLevel="0" collapsed="false">
      <c r="A11" s="0" t="s">
        <v>40</v>
      </c>
      <c r="B11" s="14" t="n">
        <f aca="false">(C5-B5)*C4</f>
        <v>1767</v>
      </c>
      <c r="C11" s="6" t="n">
        <f aca="false">B11/$B$13</f>
        <v>0.552446459277787</v>
      </c>
    </row>
    <row r="12" customFormat="false" ht="15" hidden="false" customHeight="false" outlineLevel="0" collapsed="false">
      <c r="A12" s="0" t="s">
        <v>41</v>
      </c>
      <c r="B12" s="14" t="n">
        <f aca="false">(C6-B6)*C4</f>
        <v>1240</v>
      </c>
      <c r="C12" s="6" t="n">
        <f aca="false">B12/$B$13</f>
        <v>0.387681725808973</v>
      </c>
    </row>
    <row r="13" customFormat="false" ht="15" hidden="false" customHeight="false" outlineLevel="0" collapsed="false">
      <c r="A13" s="0" t="s">
        <v>42</v>
      </c>
      <c r="B13" s="14" t="n">
        <f aca="false">SUM(B10:B12)</f>
        <v>3198.5</v>
      </c>
      <c r="C13" s="6" t="n">
        <f aca="false">SUM(C10:C12)</f>
        <v>1</v>
      </c>
    </row>
    <row r="14" customFormat="false" ht="15" hidden="false" customHeight="false" outlineLevel="0" collapsed="false">
      <c r="A14" s="0" t="s">
        <v>43</v>
      </c>
      <c r="B14" s="14" t="n">
        <f aca="false">B13-(C7-B7)</f>
        <v>0</v>
      </c>
    </row>
    <row r="16" customFormat="false" ht="15" hidden="false" customHeight="false" outlineLevel="0" collapsed="false">
      <c r="A16" s="9" t="s">
        <v>44</v>
      </c>
      <c r="C16" s="6" t="n">
        <f aca="false">C11+C12</f>
        <v>0.940128185086759</v>
      </c>
    </row>
    <row r="18" customFormat="false" ht="48" hidden="false" customHeight="true" outlineLevel="0" collapsed="false">
      <c r="A18" s="15" t="s">
        <v>45</v>
      </c>
      <c r="B18" s="15"/>
      <c r="C18" s="15"/>
      <c r="D18" s="15"/>
    </row>
  </sheetData>
  <mergeCells count="1"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9"/>
    <col collapsed="false" customWidth="true" hidden="false" outlineLevel="0" max="3" min="3" style="0" width="30"/>
    <col collapsed="false" customWidth="true" hidden="false" outlineLevel="0" max="7" min="4" style="0" width="19"/>
  </cols>
  <sheetData>
    <row r="1" customFormat="false" ht="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8" hidden="false" customHeight="true" outlineLevel="0" collapsed="false">
      <c r="A4" s="4" t="s">
        <v>48</v>
      </c>
      <c r="B4" s="11" t="n">
        <f aca="false">Data!E5</f>
        <v>150</v>
      </c>
      <c r="C4" s="7" t="s">
        <v>49</v>
      </c>
    </row>
    <row r="5" customFormat="false" ht="18" hidden="false" customHeight="true" outlineLevel="0" collapsed="false">
      <c r="A5" s="4" t="s">
        <v>50</v>
      </c>
      <c r="B5" s="16" t="n">
        <f aca="false">Data!E6</f>
        <v>280</v>
      </c>
      <c r="C5" s="7" t="s">
        <v>49</v>
      </c>
    </row>
    <row r="6" customFormat="false" ht="18" hidden="false" customHeight="true" outlineLevel="0" collapsed="false">
      <c r="A6" s="4" t="s">
        <v>51</v>
      </c>
      <c r="B6" s="16" t="n">
        <f aca="false">Data!E7</f>
        <v>147</v>
      </c>
      <c r="C6" s="7" t="s">
        <v>49</v>
      </c>
    </row>
    <row r="7" customFormat="false" ht="18" hidden="false" customHeight="true" outlineLevel="0" collapsed="false">
      <c r="A7" s="4" t="s">
        <v>52</v>
      </c>
      <c r="B7" s="17" t="n">
        <f aca="false">Data!C16</f>
        <v>0.838709677419355</v>
      </c>
      <c r="C7" s="7" t="s">
        <v>53</v>
      </c>
    </row>
    <row r="8" customFormat="false" ht="18" hidden="false" customHeight="true" outlineLevel="0" collapsed="false">
      <c r="A8" s="4" t="s">
        <v>54</v>
      </c>
      <c r="B8" s="17" t="n">
        <f aca="false">Data!C17</f>
        <v>0.942326490713588</v>
      </c>
      <c r="C8" s="7" t="s">
        <v>55</v>
      </c>
    </row>
    <row r="9" customFormat="false" ht="39.75" hidden="false" customHeight="true" outlineLevel="0" collapsed="false">
      <c r="A9" s="4" t="s">
        <v>56</v>
      </c>
      <c r="B9" s="18" t="n">
        <v>0.45</v>
      </c>
      <c r="C9" s="7" t="s">
        <v>57</v>
      </c>
    </row>
    <row r="10" customFormat="false" ht="18" hidden="false" customHeight="true" outlineLevel="0" collapsed="false">
      <c r="A10" s="4" t="s">
        <v>58</v>
      </c>
      <c r="B10" s="18" t="n">
        <v>0.3</v>
      </c>
      <c r="C10" s="7" t="s">
        <v>59</v>
      </c>
    </row>
    <row r="11" customFormat="false" ht="18" hidden="false" customHeight="true" outlineLevel="0" collapsed="false">
      <c r="A11" s="4" t="s">
        <v>60</v>
      </c>
      <c r="B11" s="19" t="n">
        <v>10</v>
      </c>
      <c r="C11" s="7" t="s">
        <v>61</v>
      </c>
    </row>
    <row r="12" customFormat="false" ht="18" hidden="false" customHeight="true" outlineLevel="0" collapsed="false">
      <c r="A12" s="4" t="s">
        <v>62</v>
      </c>
      <c r="B12" s="18" t="n">
        <v>-0.03</v>
      </c>
      <c r="C12" s="7" t="s">
        <v>63</v>
      </c>
    </row>
    <row r="13" customFormat="false" ht="18" hidden="false" customHeight="true" outlineLevel="0" collapsed="false">
      <c r="A13" s="4" t="s">
        <v>64</v>
      </c>
      <c r="B13" s="8" t="n">
        <v>0.08</v>
      </c>
      <c r="C13" s="7" t="s">
        <v>61</v>
      </c>
    </row>
    <row r="14" customFormat="false" ht="18" hidden="false" customHeight="true" outlineLevel="0" collapsed="false">
      <c r="A14" s="4" t="s">
        <v>65</v>
      </c>
      <c r="B14" s="8" t="n">
        <v>0.03</v>
      </c>
      <c r="C14" s="7" t="s">
        <v>61</v>
      </c>
    </row>
    <row r="16" customFormat="false" ht="15" hidden="false" customHeight="false" outlineLevel="0" collapsed="false">
      <c r="A16" s="9" t="s">
        <v>66</v>
      </c>
    </row>
    <row r="17" customFormat="false" ht="15" hidden="false" customHeight="false" outlineLevel="0" collapsed="false">
      <c r="A17" s="0" t="s">
        <v>67</v>
      </c>
      <c r="B17" s="0" t="n">
        <f aca="false">B5*B7*(1-B9)+B6*B8*(1-B10)</f>
        <v>226.126686217009</v>
      </c>
    </row>
    <row r="18" customFormat="false" ht="15" hidden="false" customHeight="false" outlineLevel="0" collapsed="false">
      <c r="A18" s="0" t="s">
        <v>68</v>
      </c>
      <c r="B18" s="0" t="n">
        <f aca="false">B5*B7+B6*B8</f>
        <v>373.360703812317</v>
      </c>
    </row>
    <row r="20" customFormat="false" ht="23.85" hidden="false" customHeight="false" outlineLevel="0" collapsed="false">
      <c r="A20" s="3" t="s">
        <v>69</v>
      </c>
      <c r="B20" s="3" t="s">
        <v>32</v>
      </c>
      <c r="C20" s="3" t="s">
        <v>70</v>
      </c>
      <c r="D20" s="3" t="s">
        <v>71</v>
      </c>
      <c r="E20" s="3" t="s">
        <v>72</v>
      </c>
      <c r="F20" s="3" t="s">
        <v>73</v>
      </c>
      <c r="G20" s="3" t="s">
        <v>74</v>
      </c>
    </row>
    <row r="21" customFormat="false" ht="15" hidden="false" customHeight="false" outlineLevel="0" collapsed="false">
      <c r="A21" s="0" t="s">
        <v>75</v>
      </c>
      <c r="B21" s="12" t="n">
        <f aca="false">B4</f>
        <v>150</v>
      </c>
      <c r="C21" s="20" t="n">
        <f aca="false">B21*B18/10</f>
        <v>5600.41055718475</v>
      </c>
      <c r="D21" s="21"/>
      <c r="E21" s="20" t="n">
        <f aca="false">B21*B17/10</f>
        <v>3391.90029325513</v>
      </c>
      <c r="F21" s="21"/>
      <c r="G21" s="22"/>
    </row>
    <row r="22" customFormat="false" ht="15" hidden="false" customHeight="false" outlineLevel="0" collapsed="false">
      <c r="A22" s="0" t="s">
        <v>76</v>
      </c>
      <c r="B22" s="12" t="n">
        <f aca="false">B4*(1+B12)</f>
        <v>145.5</v>
      </c>
      <c r="C22" s="20" t="n">
        <f aca="false">B22*((B5+B11)*B7+B6*B8)/10</f>
        <v>5554.43049853372</v>
      </c>
      <c r="D22" s="21" t="n">
        <f aca="false">C22-$C$21</f>
        <v>-45.9800586510273</v>
      </c>
      <c r="E22" s="20" t="n">
        <f aca="false">B22*((B5+B11)*B7*(1-B9)+B6*B8*(1-B10))/10</f>
        <v>3357.26102639296</v>
      </c>
      <c r="F22" s="21" t="n">
        <f aca="false">E22-$E$21</f>
        <v>-34.6392668621702</v>
      </c>
      <c r="G22" s="22" t="n">
        <f aca="false">F22/$E$21</f>
        <v>-0.0102123482022898</v>
      </c>
    </row>
    <row r="23" customFormat="false" ht="15" hidden="false" customHeight="false" outlineLevel="0" collapsed="false">
      <c r="A23" s="0" t="s">
        <v>77</v>
      </c>
      <c r="B23" s="12" t="n">
        <f aca="false">B4</f>
        <v>150</v>
      </c>
      <c r="C23" s="20" t="n">
        <f aca="false">B23*(B5*B7+B6*(1+B13)*B8)/10</f>
        <v>5766.63695014663</v>
      </c>
      <c r="D23" s="21" t="n">
        <f aca="false">C23-$C$21</f>
        <v>166.226392961877</v>
      </c>
      <c r="E23" s="20" t="n">
        <f aca="false">B23*(B5*B7*(1-B9)+B6*(1+B13)*B8*(1-B10))/10</f>
        <v>3508.25876832845</v>
      </c>
      <c r="F23" s="21" t="n">
        <f aca="false">E23-$E$21</f>
        <v>116.358475073313</v>
      </c>
      <c r="G23" s="22" t="n">
        <f aca="false">F23/$E$21</f>
        <v>0.0343048040960092</v>
      </c>
    </row>
    <row r="24" customFormat="false" ht="15" hidden="false" customHeight="false" outlineLevel="0" collapsed="false">
      <c r="A24" s="0" t="s">
        <v>78</v>
      </c>
      <c r="B24" s="12" t="n">
        <f aca="false">B4*(1+B14)</f>
        <v>154.5</v>
      </c>
      <c r="C24" s="20" t="n">
        <f aca="false">B24*B18/10</f>
        <v>5768.42287390029</v>
      </c>
      <c r="D24" s="21" t="n">
        <f aca="false">C24-$C$21</f>
        <v>168.012316715543</v>
      </c>
      <c r="E24" s="20" t="n">
        <f aca="false">B24*B17/10</f>
        <v>3493.65730205279</v>
      </c>
      <c r="F24" s="21" t="n">
        <f aca="false">E24-$E$21</f>
        <v>101.757008797654</v>
      </c>
      <c r="G24" s="22" t="n">
        <f aca="false">F24/$E$21</f>
        <v>0.0300000000000001</v>
      </c>
    </row>
    <row r="26" customFormat="false" ht="15" hidden="false" customHeight="false" outlineLevel="0" collapsed="false">
      <c r="A26" s="9" t="s">
        <v>79</v>
      </c>
      <c r="B26" s="23" t="n">
        <f aca="false">B17/((B5+B11)*B7*(1-B9)+B6*B8*(1-B10))-1</f>
        <v>-0.0199918151754781</v>
      </c>
      <c r="C26" s="2" t="s">
        <v>80</v>
      </c>
    </row>
    <row r="28" customFormat="false" ht="15" hidden="false" customHeight="false" outlineLevel="0" collapsed="false">
      <c r="A28" s="9" t="s">
        <v>81</v>
      </c>
    </row>
    <row r="29" customFormat="false" ht="15" hidden="false" customHeight="false" outlineLevel="0" collapsed="false">
      <c r="A29" s="0" t="s">
        <v>82</v>
      </c>
      <c r="B29" s="24" t="n">
        <v>0.4</v>
      </c>
      <c r="C29" s="24" t="n">
        <v>0.45</v>
      </c>
      <c r="D29" s="24" t="n">
        <v>0.5</v>
      </c>
    </row>
    <row r="30" customFormat="false" ht="15" hidden="false" customHeight="false" outlineLevel="0" collapsed="false">
      <c r="A30" s="24" t="n">
        <v>-0.01</v>
      </c>
      <c r="B30" s="21" t="n">
        <f aca="false">$B$4*(1+$A30)*(($B$5+$B$11)*$B$7*(1-B$29)+$B$6*$B$8*(1-$B$10))/10-$B$4*($B$5*$B$7*(1-B$29)+$B$6*$B$8*(1-$B$10))/10</f>
        <v>39.0487390029325</v>
      </c>
      <c r="C30" s="21" t="n">
        <f aca="false">$B$4*(1+$A30)*(($B$5+$B$11)*$B$7*(1-C$29)+$B$6*$B$8*(1-$B$10))/10-$B$4*($B$5*$B$7*(1-C$29)+$B$6*$B$8*(1-$B$10))/10</f>
        <v>34.5826099706746</v>
      </c>
      <c r="D30" s="21" t="n">
        <f aca="false">$B$4*(1+$A30)*(($B$5+$B$11)*$B$7*(1-D$29)+$B$6*$B$8*(1-$B$10))/10-$B$4*($B$5*$B$7*(1-D$29)+$B$6*$B$8*(1-$B$10))/10</f>
        <v>30.1164809384168</v>
      </c>
    </row>
    <row r="31" customFormat="false" ht="15" hidden="false" customHeight="false" outlineLevel="0" collapsed="false">
      <c r="A31" s="24" t="n">
        <v>-0.03</v>
      </c>
      <c r="B31" s="21" t="n">
        <f aca="false">$B$4*(1+$A31)*(($B$5+$B$11)*$B$7*(1-B$29)+$B$6*$B$8*(1-$B$10))/10-$B$4*($B$5*$B$7*(1-B$29)+$B$6*$B$8*(1-$B$10))/10</f>
        <v>-33.8215249266868</v>
      </c>
      <c r="C31" s="21" t="n">
        <f aca="false">$B$4*(1+$A31)*(($B$5+$B$11)*$B$7*(1-C$29)+$B$6*$B$8*(1-$B$10))/10-$B$4*($B$5*$B$7*(1-C$29)+$B$6*$B$8*(1-$B$10))/10</f>
        <v>-34.6392668621702</v>
      </c>
      <c r="D31" s="21" t="n">
        <f aca="false">$B$4*(1+$A31)*(($B$5+$B$11)*$B$7*(1-D$29)+$B$6*$B$8*(1-$B$10))/10-$B$4*($B$5*$B$7*(1-D$29)+$B$6*$B$8*(1-$B$10))/10</f>
        <v>-35.4570087976535</v>
      </c>
    </row>
    <row r="32" customFormat="false" ht="15" hidden="false" customHeight="false" outlineLevel="0" collapsed="false">
      <c r="A32" s="24" t="n">
        <v>-0.05</v>
      </c>
      <c r="B32" s="21" t="n">
        <f aca="false">$B$4*(1+$A32)*(($B$5+$B$11)*$B$7*(1-B$29)+$B$6*$B$8*(1-$B$10))/10-$B$4*($B$5*$B$7*(1-B$29)+$B$6*$B$8*(1-$B$10))/10</f>
        <v>-106.691788856305</v>
      </c>
      <c r="C32" s="21" t="n">
        <f aca="false">$B$4*(1+$A32)*(($B$5+$B$11)*$B$7*(1-C$29)+$B$6*$B$8*(1-$B$10))/10-$B$4*($B$5*$B$7*(1-C$29)+$B$6*$B$8*(1-$B$10))/10</f>
        <v>-103.861143695015</v>
      </c>
      <c r="D32" s="21" t="n">
        <f aca="false">$B$4*(1+$A32)*(($B$5+$B$11)*$B$7*(1-D$29)+$B$6*$B$8*(1-$B$10))/10-$B$4*($B$5*$B$7*(1-D$29)+$B$6*$B$8*(1-$B$10))/10</f>
        <v>-101.030498533724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2026-10-04T17:20:14Z</dcterms:created>
  <dc:creator>openpyxl</dc:creator>
  <dc:description/>
  <dc:language>en-US</dc:language>
  <cp:lastModifiedBy/>
  <dcterms:modified xsi:type="dcterms:W3CDTF">2026-10-04T17:20:14Z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